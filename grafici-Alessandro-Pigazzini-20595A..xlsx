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al.LAPTOP-J221DV7B\OneDrive\Desktop\"/>
    </mc:Choice>
  </mc:AlternateContent>
  <xr:revisionPtr revIDLastSave="0" documentId="13_ncr:1_{8C71C227-A0E5-4B2E-9715-7B47C11B9EE6}" xr6:coauthVersionLast="47" xr6:coauthVersionMax="47" xr10:uidLastSave="{00000000-0000-0000-0000-000000000000}"/>
  <bookViews>
    <workbookView xWindow="-110" yWindow="-110" windowWidth="22620" windowHeight="13500" xr2:uid="{6370E8D3-F648-4909-BD0F-C6F9D7005C9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45" i="1" l="1"/>
  <c r="U45" i="1"/>
  <c r="V45" i="1"/>
  <c r="W45" i="1"/>
  <c r="X45" i="1"/>
  <c r="S45" i="1"/>
  <c r="T38" i="1"/>
  <c r="U38" i="1"/>
  <c r="V38" i="1"/>
  <c r="W38" i="1"/>
  <c r="X38" i="1"/>
  <c r="Y38" i="1"/>
  <c r="S38" i="1"/>
  <c r="T31" i="1"/>
  <c r="U31" i="1"/>
  <c r="V31" i="1"/>
  <c r="W31" i="1"/>
  <c r="X31" i="1"/>
  <c r="Y31" i="1"/>
  <c r="Z31" i="1"/>
  <c r="S31" i="1"/>
  <c r="AB43" i="1"/>
  <c r="AB36" i="1"/>
  <c r="AB29" i="1"/>
</calcChain>
</file>

<file path=xl/sharedStrings.xml><?xml version="1.0" encoding="utf-8"?>
<sst xmlns="http://schemas.openxmlformats.org/spreadsheetml/2006/main" count="118" uniqueCount="93">
  <si>
    <t>percentuali %</t>
  </si>
  <si>
    <t>nero</t>
  </si>
  <si>
    <t>bianco</t>
  </si>
  <si>
    <t>blu</t>
  </si>
  <si>
    <t>giallo</t>
  </si>
  <si>
    <t>rosso</t>
  </si>
  <si>
    <t>grigio/argento</t>
  </si>
  <si>
    <t>verde</t>
  </si>
  <si>
    <t>viola</t>
  </si>
  <si>
    <t>%</t>
  </si>
  <si>
    <t>Bubble style</t>
  </si>
  <si>
    <t>Wild style</t>
  </si>
  <si>
    <t>Block Buster</t>
  </si>
  <si>
    <t>3D style</t>
  </si>
  <si>
    <t>Throw up</t>
  </si>
  <si>
    <t>muri</t>
  </si>
  <si>
    <t>treni/ferrovie</t>
  </si>
  <si>
    <t>tunnel/sottopassi</t>
  </si>
  <si>
    <t>tetti</t>
  </si>
  <si>
    <t>monumenti/sup. storiche</t>
  </si>
  <si>
    <t>adulti</t>
  </si>
  <si>
    <t>ragazzi</t>
  </si>
  <si>
    <t>ragazze</t>
  </si>
  <si>
    <t>Milano</t>
  </si>
  <si>
    <t>Genova</t>
  </si>
  <si>
    <t>Bologna</t>
  </si>
  <si>
    <t>Vicenza</t>
  </si>
  <si>
    <t>Roma</t>
  </si>
  <si>
    <t>Napoli</t>
  </si>
  <si>
    <t>€</t>
  </si>
  <si>
    <t>Trenord</t>
  </si>
  <si>
    <t>ATM</t>
  </si>
  <si>
    <t>Trentino Trasporti</t>
  </si>
  <si>
    <t>ATAC</t>
  </si>
  <si>
    <t>Contral</t>
  </si>
  <si>
    <t>Colore</t>
  </si>
  <si>
    <t>USA</t>
  </si>
  <si>
    <t>Libano</t>
  </si>
  <si>
    <t>Iran</t>
  </si>
  <si>
    <t>Kuwait</t>
  </si>
  <si>
    <t>Blu</t>
  </si>
  <si>
    <t>Verde</t>
  </si>
  <si>
    <t>Arancione</t>
  </si>
  <si>
    <t>Giallo</t>
  </si>
  <si>
    <t>Porpora</t>
  </si>
  <si>
    <t>Rosso</t>
  </si>
  <si>
    <t>sesso</t>
  </si>
  <si>
    <t>ETA</t>
  </si>
  <si>
    <t>Attività stimata (indice relativo)</t>
  </si>
  <si>
    <t>etnia</t>
  </si>
  <si>
    <t>percentuale</t>
  </si>
  <si>
    <t>Neri</t>
  </si>
  <si>
    <t>Ispanici</t>
  </si>
  <si>
    <t>maschi</t>
  </si>
  <si>
    <t>femmine</t>
  </si>
  <si>
    <t>colori e cultura</t>
  </si>
  <si>
    <t>S</t>
  </si>
  <si>
    <t>Stencil /Puppet</t>
  </si>
  <si>
    <t>ponti/strutture stradali</t>
  </si>
  <si>
    <t>COLORE</t>
  </si>
  <si>
    <t>Tag/Sticker</t>
  </si>
  <si>
    <t>COLORI</t>
  </si>
  <si>
    <t>STILI</t>
  </si>
  <si>
    <t>SUPERFICI</t>
  </si>
  <si>
    <t>CITTA'</t>
  </si>
  <si>
    <t>MILANO</t>
  </si>
  <si>
    <t>ROMA</t>
  </si>
  <si>
    <t>AZIENDA TASPORTO</t>
  </si>
  <si>
    <t>Bianchi</t>
  </si>
  <si>
    <t>Asiatici</t>
  </si>
  <si>
    <t>Arte</t>
  </si>
  <si>
    <t>Vandalismo/degrado</t>
  </si>
  <si>
    <t>Imbruttiscono la città</t>
  </si>
  <si>
    <t>Espressione        personale</t>
  </si>
  <si>
    <t>graffiti</t>
  </si>
  <si>
    <t>colori</t>
  </si>
  <si>
    <t>stili</t>
  </si>
  <si>
    <t>superfici</t>
  </si>
  <si>
    <t>totale</t>
  </si>
  <si>
    <t>argento</t>
  </si>
  <si>
    <t xml:space="preserve">graffiti </t>
  </si>
  <si>
    <t>tag/sticker</t>
  </si>
  <si>
    <t>throw up</t>
  </si>
  <si>
    <t>bubble</t>
  </si>
  <si>
    <t>wild</t>
  </si>
  <si>
    <t>block buster</t>
  </si>
  <si>
    <t>3d</t>
  </si>
  <si>
    <t>stencil</t>
  </si>
  <si>
    <t>12 in comune</t>
  </si>
  <si>
    <t>treni</t>
  </si>
  <si>
    <t>tunnel</t>
  </si>
  <si>
    <t>autostrade</t>
  </si>
  <si>
    <t>monumenti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</si>
</sst>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1103CD"/>
      <color rgb="FF2E03CD"/>
      <color rgb="FFEA8B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33-4976-9EDF-49D1B0A7979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33-4976-9EDF-49D1B0A7979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33-4976-9EDF-49D1B0A7979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33-4976-9EDF-49D1B0A7979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233-4976-9EDF-49D1B0A7979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233-4976-9EDF-49D1B0A79797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233-4976-9EDF-49D1B0A79797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233-4976-9EDF-49D1B0A797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E8E8E8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Foglio1!$B$5:$B$12</c:f>
              <c:strCache>
                <c:ptCount val="8"/>
                <c:pt idx="0">
                  <c:v>viola</c:v>
                </c:pt>
                <c:pt idx="1">
                  <c:v>verde</c:v>
                </c:pt>
                <c:pt idx="2">
                  <c:v>grigio/argento</c:v>
                </c:pt>
                <c:pt idx="3">
                  <c:v>rosso</c:v>
                </c:pt>
                <c:pt idx="4">
                  <c:v>giallo</c:v>
                </c:pt>
                <c:pt idx="5">
                  <c:v>blu</c:v>
                </c:pt>
                <c:pt idx="6">
                  <c:v>bianco</c:v>
                </c:pt>
                <c:pt idx="7">
                  <c:v>nero</c:v>
                </c:pt>
              </c:strCache>
            </c:strRef>
          </c:cat>
          <c:val>
            <c:numRef>
              <c:f>Foglio1!$C$5:$C$12</c:f>
              <c:numCache>
                <c:formatCode>General</c:formatCode>
                <c:ptCount val="8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11</c:v>
                </c:pt>
                <c:pt idx="4">
                  <c:v>12</c:v>
                </c:pt>
                <c:pt idx="5">
                  <c:v>15</c:v>
                </c:pt>
                <c:pt idx="6">
                  <c:v>20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233-4976-9EDF-49D1B0A79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965477712"/>
        <c:axId val="969081552"/>
      </c:barChart>
      <c:catAx>
        <c:axId val="96547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69081552"/>
        <c:crosses val="autoZero"/>
        <c:auto val="1"/>
        <c:lblAlgn val="ctr"/>
        <c:lblOffset val="100"/>
        <c:noMultiLvlLbl val="0"/>
      </c:catAx>
      <c:valAx>
        <c:axId val="96908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dirty="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6547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70-4915-AE42-CAC8AB8C7F0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70-4915-AE42-CAC8AB8C7F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Foglio1!$P$6:$P$12</c:f>
              <c:strCache>
                <c:ptCount val="7"/>
                <c:pt idx="0">
                  <c:v>Stencil /Puppet</c:v>
                </c:pt>
                <c:pt idx="1">
                  <c:v>3D style</c:v>
                </c:pt>
                <c:pt idx="2">
                  <c:v>Block Buster</c:v>
                </c:pt>
                <c:pt idx="3">
                  <c:v>Wild style</c:v>
                </c:pt>
                <c:pt idx="4">
                  <c:v>Bubble style</c:v>
                </c:pt>
                <c:pt idx="5">
                  <c:v>Throw up</c:v>
                </c:pt>
                <c:pt idx="6">
                  <c:v>Tag/Sticker</c:v>
                </c:pt>
              </c:strCache>
            </c:strRef>
          </c:cat>
          <c:val>
            <c:numRef>
              <c:f>Foglio1!$Q$6:$Q$12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12</c:v>
                </c:pt>
                <c:pt idx="4">
                  <c:v>15</c:v>
                </c:pt>
                <c:pt idx="5">
                  <c:v>28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70-4915-AE42-CAC8AB8C7F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64237872"/>
        <c:axId val="969101712"/>
      </c:barChart>
      <c:catAx>
        <c:axId val="116423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69101712"/>
        <c:crosses val="autoZero"/>
        <c:auto val="1"/>
        <c:lblAlgn val="ctr"/>
        <c:lblOffset val="100"/>
        <c:noMultiLvlLbl val="0"/>
      </c:catAx>
      <c:valAx>
        <c:axId val="969101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dirty="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423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98-4E7E-93E7-60F8D35663B6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98-4E7E-93E7-60F8D35663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E8E8E8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Foglio1!$B$24:$B$29</c:f>
              <c:strCache>
                <c:ptCount val="6"/>
                <c:pt idx="0">
                  <c:v>monumenti/sup. storiche</c:v>
                </c:pt>
                <c:pt idx="1">
                  <c:v>tetti</c:v>
                </c:pt>
                <c:pt idx="2">
                  <c:v>ponti/strutture stradali</c:v>
                </c:pt>
                <c:pt idx="3">
                  <c:v>tunnel/sottopassi</c:v>
                </c:pt>
                <c:pt idx="4">
                  <c:v>treni/ferrovie</c:v>
                </c:pt>
                <c:pt idx="5">
                  <c:v>muri</c:v>
                </c:pt>
              </c:strCache>
            </c:strRef>
          </c:cat>
          <c:val>
            <c:numRef>
              <c:f>Foglio1!$C$24:$C$29</c:f>
              <c:numCache>
                <c:formatCode>General</c:formatCode>
                <c:ptCount val="6"/>
                <c:pt idx="0">
                  <c:v>3</c:v>
                </c:pt>
                <c:pt idx="1">
                  <c:v>5.5</c:v>
                </c:pt>
                <c:pt idx="2">
                  <c:v>10</c:v>
                </c:pt>
                <c:pt idx="3">
                  <c:v>13</c:v>
                </c:pt>
                <c:pt idx="4">
                  <c:v>19</c:v>
                </c:pt>
                <c:pt idx="5">
                  <c:v>49.5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98-4E7E-93E7-60F8D35663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axId val="1222201248"/>
        <c:axId val="969083952"/>
      </c:barChart>
      <c:catAx>
        <c:axId val="122220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69083952"/>
        <c:crosses val="autoZero"/>
        <c:auto val="1"/>
        <c:lblAlgn val="ctr"/>
        <c:lblOffset val="100"/>
        <c:noMultiLvlLbl val="0"/>
      </c:catAx>
      <c:valAx>
        <c:axId val="96908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dirty="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220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2372160884388"/>
          <c:y val="7.6414687022028707E-2"/>
          <c:w val="0.75397897055316287"/>
          <c:h val="0.81396472363374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Foglio1!$C$46</c:f>
              <c:strCache>
                <c:ptCount val="1"/>
                <c:pt idx="0">
                  <c:v>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Foglio1!$B$47:$B$52</c:f>
              <c:strCache>
                <c:ptCount val="6"/>
                <c:pt idx="0">
                  <c:v>Milano</c:v>
                </c:pt>
                <c:pt idx="1">
                  <c:v>Roma</c:v>
                </c:pt>
                <c:pt idx="2">
                  <c:v>Napoli</c:v>
                </c:pt>
                <c:pt idx="3">
                  <c:v>Bologna</c:v>
                </c:pt>
                <c:pt idx="4">
                  <c:v>Vicenza</c:v>
                </c:pt>
                <c:pt idx="5">
                  <c:v>Genova</c:v>
                </c:pt>
              </c:strCache>
            </c:strRef>
          </c:cat>
          <c:val>
            <c:numRef>
              <c:f>Foglio1!$C$47:$C$52</c:f>
              <c:numCache>
                <c:formatCode>General</c:formatCode>
                <c:ptCount val="6"/>
                <c:pt idx="0">
                  <c:v>500</c:v>
                </c:pt>
                <c:pt idx="1">
                  <c:v>450</c:v>
                </c:pt>
                <c:pt idx="2">
                  <c:v>200</c:v>
                </c:pt>
                <c:pt idx="3">
                  <c:v>107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9-4DFF-BD99-1F7F6D6659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318003023"/>
        <c:axId val="318004463"/>
      </c:barChart>
      <c:catAx>
        <c:axId val="31800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8004463"/>
        <c:crosses val="autoZero"/>
        <c:auto val="1"/>
        <c:lblAlgn val="ctr"/>
        <c:lblOffset val="100"/>
        <c:noMultiLvlLbl val="0"/>
      </c:catAx>
      <c:valAx>
        <c:axId val="31800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dirty="0"/>
                  <a:t>Migliaia</a:t>
                </a:r>
                <a:r>
                  <a:rPr lang="it-IT" sz="1600" baseline="0" dirty="0"/>
                  <a:t> di euro</a:t>
                </a:r>
                <a:endParaRPr lang="it-IT" sz="1600" dirty="0"/>
              </a:p>
            </c:rich>
          </c:tx>
          <c:layout>
            <c:manualLayout>
              <c:xMode val="edge"/>
              <c:yMode val="edge"/>
              <c:x val="1.1433919376657267E-2"/>
              <c:y val="0.314131786726614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800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Foglio1!$C$73</c:f>
              <c:strCache>
                <c:ptCount val="1"/>
                <c:pt idx="0">
                  <c:v>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9A-4AFC-BBA3-2421DC44FFA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9A-4AFC-BBA3-2421DC44FFA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9A-4AFC-BBA3-2421DC44FFA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9A-4AFC-BBA3-2421DC44FF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Foglio1!$B$74:$B$78</c:f>
              <c:strCache>
                <c:ptCount val="5"/>
                <c:pt idx="0">
                  <c:v>Trenord</c:v>
                </c:pt>
                <c:pt idx="1">
                  <c:v>Contral</c:v>
                </c:pt>
                <c:pt idx="2">
                  <c:v>ATAC</c:v>
                </c:pt>
                <c:pt idx="3">
                  <c:v>ATM</c:v>
                </c:pt>
                <c:pt idx="4">
                  <c:v>Trentino Trasporti</c:v>
                </c:pt>
              </c:strCache>
            </c:strRef>
          </c:cat>
          <c:val>
            <c:numRef>
              <c:f>Foglio1!$C$74:$C$78</c:f>
              <c:numCache>
                <c:formatCode>#,##0</c:formatCode>
                <c:ptCount val="5"/>
                <c:pt idx="0">
                  <c:v>1500</c:v>
                </c:pt>
                <c:pt idx="1">
                  <c:v>140</c:v>
                </c:pt>
                <c:pt idx="2">
                  <c:v>137</c:v>
                </c:pt>
                <c:pt idx="3">
                  <c:v>50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9A-4AFC-BBA3-2421DC44F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462799"/>
        <c:axId val="926452719"/>
      </c:barChart>
      <c:catAx>
        <c:axId val="92646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6452719"/>
        <c:crosses val="autoZero"/>
        <c:auto val="1"/>
        <c:lblAlgn val="ctr"/>
        <c:lblOffset val="100"/>
        <c:noMultiLvlLbl val="0"/>
      </c:catAx>
      <c:valAx>
        <c:axId val="926452719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dirty="0"/>
                  <a:t>Migliaia</a:t>
                </a:r>
                <a:r>
                  <a:rPr lang="it-IT" sz="1600" baseline="0" dirty="0"/>
                  <a:t> di euro</a:t>
                </a:r>
                <a:endParaRPr lang="it-IT" sz="1600" dirty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6462799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Foglio1!$C$97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Foglio1!$B$98:$B$103</c:f>
              <c:strCache>
                <c:ptCount val="6"/>
                <c:pt idx="0">
                  <c:v>Rosso</c:v>
                </c:pt>
                <c:pt idx="1">
                  <c:v>Blu</c:v>
                </c:pt>
                <c:pt idx="2">
                  <c:v>Verde</c:v>
                </c:pt>
                <c:pt idx="3">
                  <c:v>Arancione</c:v>
                </c:pt>
                <c:pt idx="4">
                  <c:v>Giallo</c:v>
                </c:pt>
                <c:pt idx="5">
                  <c:v>Porpora</c:v>
                </c:pt>
              </c:strCache>
            </c:strRef>
          </c:cat>
          <c:val>
            <c:numRef>
              <c:f>Foglio1!$C$98:$C$103</c:f>
              <c:numCache>
                <c:formatCode>General</c:formatCode>
                <c:ptCount val="6"/>
                <c:pt idx="0">
                  <c:v>66.099999999999994</c:v>
                </c:pt>
                <c:pt idx="1">
                  <c:v>65.7</c:v>
                </c:pt>
                <c:pt idx="2">
                  <c:v>57.8</c:v>
                </c:pt>
                <c:pt idx="3">
                  <c:v>48.6</c:v>
                </c:pt>
                <c:pt idx="4">
                  <c:v>45</c:v>
                </c:pt>
                <c:pt idx="5">
                  <c:v>39.6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6-4364-8D94-94D1255896BE}"/>
            </c:ext>
          </c:extLst>
        </c:ser>
        <c:ser>
          <c:idx val="1"/>
          <c:order val="1"/>
          <c:tx>
            <c:strRef>
              <c:f>Foglio1!$D$97</c:f>
              <c:strCache>
                <c:ptCount val="1"/>
                <c:pt idx="0">
                  <c:v>Libano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Foglio1!$B$98:$B$103</c:f>
              <c:strCache>
                <c:ptCount val="6"/>
                <c:pt idx="0">
                  <c:v>Rosso</c:v>
                </c:pt>
                <c:pt idx="1">
                  <c:v>Blu</c:v>
                </c:pt>
                <c:pt idx="2">
                  <c:v>Verde</c:v>
                </c:pt>
                <c:pt idx="3">
                  <c:v>Arancione</c:v>
                </c:pt>
                <c:pt idx="4">
                  <c:v>Giallo</c:v>
                </c:pt>
                <c:pt idx="5">
                  <c:v>Porpora</c:v>
                </c:pt>
              </c:strCache>
            </c:strRef>
          </c:cat>
          <c:val>
            <c:numRef>
              <c:f>Foglio1!$D$98:$D$103</c:f>
              <c:numCache>
                <c:formatCode>General</c:formatCode>
                <c:ptCount val="6"/>
                <c:pt idx="0">
                  <c:v>55</c:v>
                </c:pt>
                <c:pt idx="1">
                  <c:v>50.4</c:v>
                </c:pt>
                <c:pt idx="2">
                  <c:v>66.099999999999994</c:v>
                </c:pt>
                <c:pt idx="3">
                  <c:v>46.1</c:v>
                </c:pt>
                <c:pt idx="4">
                  <c:v>54.3</c:v>
                </c:pt>
                <c:pt idx="5">
                  <c:v>37.799999999999997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26-4364-8D94-94D1255896BE}"/>
            </c:ext>
          </c:extLst>
        </c:ser>
        <c:ser>
          <c:idx val="2"/>
          <c:order val="2"/>
          <c:tx>
            <c:strRef>
              <c:f>Foglio1!$E$97</c:f>
              <c:strCache>
                <c:ptCount val="1"/>
                <c:pt idx="0">
                  <c:v>Iran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Foglio1!$B$98:$B$103</c:f>
              <c:strCache>
                <c:ptCount val="6"/>
                <c:pt idx="0">
                  <c:v>Rosso</c:v>
                </c:pt>
                <c:pt idx="1">
                  <c:v>Blu</c:v>
                </c:pt>
                <c:pt idx="2">
                  <c:v>Verde</c:v>
                </c:pt>
                <c:pt idx="3">
                  <c:v>Arancione</c:v>
                </c:pt>
                <c:pt idx="4">
                  <c:v>Giallo</c:v>
                </c:pt>
                <c:pt idx="5">
                  <c:v>Porpora</c:v>
                </c:pt>
              </c:strCache>
            </c:strRef>
          </c:cat>
          <c:val>
            <c:numRef>
              <c:f>Foglio1!$E$98:$E$103</c:f>
              <c:numCache>
                <c:formatCode>General</c:formatCode>
                <c:ptCount val="6"/>
                <c:pt idx="0">
                  <c:v>50</c:v>
                </c:pt>
                <c:pt idx="1">
                  <c:v>48.9</c:v>
                </c:pt>
                <c:pt idx="2">
                  <c:v>68.2</c:v>
                </c:pt>
                <c:pt idx="3">
                  <c:v>48.2</c:v>
                </c:pt>
                <c:pt idx="4">
                  <c:v>44.6</c:v>
                </c:pt>
                <c:pt idx="5">
                  <c:v>39.6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26-4364-8D94-94D1255896BE}"/>
            </c:ext>
          </c:extLst>
        </c:ser>
        <c:ser>
          <c:idx val="3"/>
          <c:order val="3"/>
          <c:tx>
            <c:strRef>
              <c:f>Foglio1!$F$97</c:f>
              <c:strCache>
                <c:ptCount val="1"/>
                <c:pt idx="0">
                  <c:v>Kuwait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Foglio1!$B$98:$B$103</c:f>
              <c:strCache>
                <c:ptCount val="6"/>
                <c:pt idx="0">
                  <c:v>Rosso</c:v>
                </c:pt>
                <c:pt idx="1">
                  <c:v>Blu</c:v>
                </c:pt>
                <c:pt idx="2">
                  <c:v>Verde</c:v>
                </c:pt>
                <c:pt idx="3">
                  <c:v>Arancione</c:v>
                </c:pt>
                <c:pt idx="4">
                  <c:v>Giallo</c:v>
                </c:pt>
                <c:pt idx="5">
                  <c:v>Porpora</c:v>
                </c:pt>
              </c:strCache>
            </c:strRef>
          </c:cat>
          <c:val>
            <c:numRef>
              <c:f>Foglio1!$F$98:$F$103</c:f>
              <c:numCache>
                <c:formatCode>General</c:formatCode>
                <c:ptCount val="6"/>
                <c:pt idx="0">
                  <c:v>37.1</c:v>
                </c:pt>
                <c:pt idx="1">
                  <c:v>34.299999999999997</c:v>
                </c:pt>
                <c:pt idx="2">
                  <c:v>67.5</c:v>
                </c:pt>
                <c:pt idx="3">
                  <c:v>56.8</c:v>
                </c:pt>
                <c:pt idx="4">
                  <c:v>60.4</c:v>
                </c:pt>
                <c:pt idx="5">
                  <c:v>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26-4364-8D94-94D1255896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overlap val="-5"/>
        <c:axId val="926485359"/>
        <c:axId val="926491599"/>
      </c:barChart>
      <c:catAx>
        <c:axId val="92648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6491599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649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648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8038967133526"/>
          <c:y val="6.9226251591942928E-2"/>
          <c:w val="0.83014524882248253"/>
          <c:h val="0.76354510773080464"/>
        </c:manualLayout>
      </c:layout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Foglio1!$B$111:$B$123</c:f>
              <c:numCache>
                <c:formatCode>General</c:formatCode>
                <c:ptCount val="1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25</c:v>
                </c:pt>
              </c:numCache>
            </c:numRef>
          </c:xVal>
          <c:yVal>
            <c:numRef>
              <c:f>Foglio1!$C$111:$C$123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80</c:v>
                </c:pt>
                <c:pt idx="8">
                  <c:v>75</c:v>
                </c:pt>
                <c:pt idx="9">
                  <c:v>50</c:v>
                </c:pt>
                <c:pt idx="10">
                  <c:v>40</c:v>
                </c:pt>
                <c:pt idx="11">
                  <c:v>20</c:v>
                </c:pt>
                <c:pt idx="1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FE-47A3-B46B-135AD554F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481999"/>
        <c:axId val="926491119"/>
      </c:scatterChart>
      <c:valAx>
        <c:axId val="926481999"/>
        <c:scaling>
          <c:orientation val="minMax"/>
          <c:max val="2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b="1">
                    <a:solidFill>
                      <a:srgbClr val="002060"/>
                    </a:solidFill>
                  </a:rPr>
                  <a:t>Età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6491119"/>
        <c:crosses val="autoZero"/>
        <c:crossBetween val="midCat"/>
        <c:majorUnit val="1"/>
      </c:valAx>
      <c:valAx>
        <c:axId val="92649111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b="1">
                    <a:solidFill>
                      <a:srgbClr val="002060"/>
                    </a:solidFill>
                  </a:rPr>
                  <a:t>Indice di attività (0-100)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648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Foglio1!$C$138</c:f>
              <c:strCache>
                <c:ptCount val="1"/>
                <c:pt idx="0">
                  <c:v>percentuale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D8E-4D89-9A02-957D735C8F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D8E-4D89-9A02-957D735C8F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D8E-4D89-9A02-957D735C8F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D8E-4D89-9A02-957D735C8F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Foglio1!$B$139:$B$142</c:f>
              <c:strCache>
                <c:ptCount val="4"/>
                <c:pt idx="0">
                  <c:v>Bianchi</c:v>
                </c:pt>
                <c:pt idx="1">
                  <c:v>Neri</c:v>
                </c:pt>
                <c:pt idx="2">
                  <c:v>Ispanici</c:v>
                </c:pt>
                <c:pt idx="3">
                  <c:v>Asiatici</c:v>
                </c:pt>
              </c:strCache>
            </c:strRef>
          </c:cat>
          <c:val>
            <c:numRef>
              <c:f>Foglio1!$C$139:$C$142</c:f>
              <c:numCache>
                <c:formatCode>General</c:formatCode>
                <c:ptCount val="4"/>
                <c:pt idx="0">
                  <c:v>40</c:v>
                </c:pt>
                <c:pt idx="1">
                  <c:v>25</c:v>
                </c:pt>
                <c:pt idx="2">
                  <c:v>25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8E-4D89-9A02-957D735C8F2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Foglio1!$C$155</c:f>
              <c:strCache>
                <c:ptCount val="1"/>
                <c:pt idx="0">
                  <c:v>percentuale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0C-4E18-A511-8FE6871461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0C-4E18-A511-8FE6871461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Foglio1!$B$156:$B$157</c:f>
              <c:strCache>
                <c:ptCount val="2"/>
                <c:pt idx="0">
                  <c:v>maschi</c:v>
                </c:pt>
                <c:pt idx="1">
                  <c:v>femmine</c:v>
                </c:pt>
              </c:strCache>
            </c:strRef>
          </c:cat>
          <c:val>
            <c:numRef>
              <c:f>Foglio1!$C$156:$C$157</c:f>
              <c:numCache>
                <c:formatCode>General</c:formatCode>
                <c:ptCount val="2"/>
                <c:pt idx="0">
                  <c:v>90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0C-4E18-A511-8FE68714616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3926594448214"/>
          <c:y val="3.8043469441406234E-2"/>
          <c:w val="0.82357419162232204"/>
          <c:h val="0.713403386289815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Foglio1!$B$177</c:f>
              <c:strCache>
                <c:ptCount val="1"/>
                <c:pt idx="0">
                  <c:v>adulti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Foglio1!$C$176:$F$176</c:f>
              <c:strCache>
                <c:ptCount val="4"/>
                <c:pt idx="0">
                  <c:v>Arte</c:v>
                </c:pt>
                <c:pt idx="1">
                  <c:v>Espressione        personale</c:v>
                </c:pt>
                <c:pt idx="2">
                  <c:v>Vandalismo/degrado</c:v>
                </c:pt>
                <c:pt idx="3">
                  <c:v>Imbruttiscono la città</c:v>
                </c:pt>
              </c:strCache>
            </c:strRef>
          </c:cat>
          <c:val>
            <c:numRef>
              <c:f>Foglio1!$C$177:$F$177</c:f>
              <c:numCache>
                <c:formatCode>General</c:formatCode>
                <c:ptCount val="4"/>
                <c:pt idx="0">
                  <c:v>30</c:v>
                </c:pt>
                <c:pt idx="1">
                  <c:v>17.5</c:v>
                </c:pt>
                <c:pt idx="2">
                  <c:v>50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0-4B50-8233-9DC9CE3FEDFC}"/>
            </c:ext>
          </c:extLst>
        </c:ser>
        <c:ser>
          <c:idx val="1"/>
          <c:order val="1"/>
          <c:tx>
            <c:strRef>
              <c:f>Foglio1!$B$178</c:f>
              <c:strCache>
                <c:ptCount val="1"/>
                <c:pt idx="0">
                  <c:v>ragazzi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Foglio1!$C$176:$F$176</c:f>
              <c:strCache>
                <c:ptCount val="4"/>
                <c:pt idx="0">
                  <c:v>Arte</c:v>
                </c:pt>
                <c:pt idx="1">
                  <c:v>Espressione        personale</c:v>
                </c:pt>
                <c:pt idx="2">
                  <c:v>Vandalismo/degrado</c:v>
                </c:pt>
                <c:pt idx="3">
                  <c:v>Imbruttiscono la città</c:v>
                </c:pt>
              </c:strCache>
            </c:strRef>
          </c:cat>
          <c:val>
            <c:numRef>
              <c:f>Foglio1!$C$178:$F$178</c:f>
              <c:numCache>
                <c:formatCode>General</c:formatCode>
                <c:ptCount val="4"/>
                <c:pt idx="0">
                  <c:v>44.5</c:v>
                </c:pt>
                <c:pt idx="1">
                  <c:v>20.7</c:v>
                </c:pt>
                <c:pt idx="2">
                  <c:v>16.3</c:v>
                </c:pt>
                <c:pt idx="3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0-4B50-8233-9DC9CE3FEDFC}"/>
            </c:ext>
          </c:extLst>
        </c:ser>
        <c:ser>
          <c:idx val="2"/>
          <c:order val="2"/>
          <c:tx>
            <c:strRef>
              <c:f>Foglio1!$B$179</c:f>
              <c:strCache>
                <c:ptCount val="1"/>
                <c:pt idx="0">
                  <c:v>ragazze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Foglio1!$C$176:$F$176</c:f>
              <c:strCache>
                <c:ptCount val="4"/>
                <c:pt idx="0">
                  <c:v>Arte</c:v>
                </c:pt>
                <c:pt idx="1">
                  <c:v>Espressione        personale</c:v>
                </c:pt>
                <c:pt idx="2">
                  <c:v>Vandalismo/degrado</c:v>
                </c:pt>
                <c:pt idx="3">
                  <c:v>Imbruttiscono la città</c:v>
                </c:pt>
              </c:strCache>
            </c:strRef>
          </c:cat>
          <c:val>
            <c:numRef>
              <c:f>Foglio1!$C$179:$F$179</c:f>
              <c:numCache>
                <c:formatCode>General</c:formatCode>
                <c:ptCount val="4"/>
                <c:pt idx="0">
                  <c:v>43.3</c:v>
                </c:pt>
                <c:pt idx="1">
                  <c:v>28</c:v>
                </c:pt>
                <c:pt idx="2">
                  <c:v>12.6</c:v>
                </c:pt>
                <c:pt idx="3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50-4B50-8233-9DC9CE3FED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0124303"/>
        <c:axId val="874644143"/>
      </c:barChart>
      <c:catAx>
        <c:axId val="75012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4644143"/>
        <c:crosses val="autoZero"/>
        <c:auto val="1"/>
        <c:lblAlgn val="ctr"/>
        <c:lblOffset val="100"/>
        <c:noMultiLvlLbl val="0"/>
      </c:catAx>
      <c:valAx>
        <c:axId val="87464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dirty="0"/>
                  <a:t>%</a:t>
                </a:r>
              </a:p>
            </c:rich>
          </c:tx>
          <c:layout>
            <c:manualLayout>
              <c:xMode val="edge"/>
              <c:yMode val="edge"/>
              <c:x val="1.6584575862279915E-2"/>
              <c:y val="0.44588917053159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5012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243794198793521"/>
          <c:y val="0.91807061051807881"/>
          <c:w val="0.60443379009801301"/>
          <c:h val="8.192943406054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56279744248086"/>
          <c:y val="3.6073443154631644E-2"/>
          <c:w val="0.79906830887777258"/>
          <c:h val="0.795486818790743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Foglio1!$C$205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65-4E7C-97EA-69B61732DE5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65-4E7C-97EA-69B61732DE5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165-4E7C-97EA-69B61732DE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E8E8E8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Foglio1!$B$206:$B$208</c:f>
              <c:strCache>
                <c:ptCount val="3"/>
                <c:pt idx="0">
                  <c:v>rosso</c:v>
                </c:pt>
                <c:pt idx="1">
                  <c:v>giallo</c:v>
                </c:pt>
                <c:pt idx="2">
                  <c:v>blu</c:v>
                </c:pt>
              </c:strCache>
            </c:strRef>
          </c:cat>
          <c:val>
            <c:numRef>
              <c:f>Foglio1!$C$206:$C$208</c:f>
              <c:numCache>
                <c:formatCode>General</c:formatCode>
                <c:ptCount val="3"/>
                <c:pt idx="0">
                  <c:v>15</c:v>
                </c:pt>
                <c:pt idx="1">
                  <c:v>18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65-4E7C-97EA-69B61732DE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20"/>
        <c:axId val="1277770015"/>
        <c:axId val="1277770975"/>
      </c:barChart>
      <c:catAx>
        <c:axId val="127777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77770975"/>
        <c:crosses val="autoZero"/>
        <c:auto val="1"/>
        <c:lblAlgn val="ctr"/>
        <c:lblOffset val="100"/>
        <c:noMultiLvlLbl val="0"/>
      </c:catAx>
      <c:valAx>
        <c:axId val="127777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dirty="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77770015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2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2128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577850</xdr:colOff>
      <xdr:row>2</xdr:row>
      <xdr:rowOff>107951</xdr:rowOff>
    </xdr:from>
    <xdr:to>
      <xdr:col>13</xdr:col>
      <xdr:colOff>254000</xdr:colOff>
      <xdr:row>17</xdr:row>
      <xdr:rowOff>63500</xdr:rowOff>
    </xdr:to>
    <xdr:graphicFrame macro="">
      <xdr:nvGraphicFramePr>
        <xdr:cNvPr id="31" name="Grafico 30">
          <a:extLst>
            <a:ext uri="{FF2B5EF4-FFF2-40B4-BE49-F238E27FC236}">
              <a16:creationId xmlns:a16="http://schemas.microsoft.com/office/drawing/2014/main" id="{4322EB03-7EAE-8A8A-BDBF-44030652E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539751</xdr:colOff>
      <xdr:row>2</xdr:row>
      <xdr:rowOff>111126</xdr:rowOff>
    </xdr:from>
    <xdr:to>
      <xdr:col>28</xdr:col>
      <xdr:colOff>31751</xdr:colOff>
      <xdr:row>21</xdr:row>
      <xdr:rowOff>142876</xdr:rowOff>
    </xdr:to>
    <xdr:graphicFrame macro="">
      <xdr:nvGraphicFramePr>
        <xdr:cNvPr id="35" name="Grafico 34">
          <a:extLst>
            <a:ext uri="{FF2B5EF4-FFF2-40B4-BE49-F238E27FC236}">
              <a16:creationId xmlns:a16="http://schemas.microsoft.com/office/drawing/2014/main" id="{D64D8A0C-A1AB-8EE9-A9FB-3F74F7EF8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15875</xdr:colOff>
      <xdr:row>21</xdr:row>
      <xdr:rowOff>31750</xdr:rowOff>
    </xdr:from>
    <xdr:to>
      <xdr:col>13</xdr:col>
      <xdr:colOff>285750</xdr:colOff>
      <xdr:row>40</xdr:row>
      <xdr:rowOff>0</xdr:rowOff>
    </xdr:to>
    <xdr:graphicFrame macro="">
      <xdr:nvGraphicFramePr>
        <xdr:cNvPr id="36" name="Grafico 35">
          <a:extLst>
            <a:ext uri="{FF2B5EF4-FFF2-40B4-BE49-F238E27FC236}">
              <a16:creationId xmlns:a16="http://schemas.microsoft.com/office/drawing/2014/main" id="{A3A597F6-DA7A-FDD0-6B1F-DB739AC9D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52160</xdr:colOff>
      <xdr:row>40</xdr:row>
      <xdr:rowOff>138339</xdr:rowOff>
    </xdr:from>
    <xdr:to>
      <xdr:col>14</xdr:col>
      <xdr:colOff>284569</xdr:colOff>
      <xdr:row>63</xdr:row>
      <xdr:rowOff>132181</xdr:rowOff>
    </xdr:to>
    <xdr:graphicFrame macro="">
      <xdr:nvGraphicFramePr>
        <xdr:cNvPr id="38" name="Grafico 37">
          <a:extLst>
            <a:ext uri="{FF2B5EF4-FFF2-40B4-BE49-F238E27FC236}">
              <a16:creationId xmlns:a16="http://schemas.microsoft.com/office/drawing/2014/main" id="{3B9EC19A-C1CE-7190-634D-8FB6EA61A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15874</xdr:colOff>
      <xdr:row>67</xdr:row>
      <xdr:rowOff>13607</xdr:rowOff>
    </xdr:from>
    <xdr:to>
      <xdr:col>13</xdr:col>
      <xdr:colOff>9759</xdr:colOff>
      <xdr:row>89</xdr:row>
      <xdr:rowOff>99981</xdr:rowOff>
    </xdr:to>
    <xdr:graphicFrame macro="">
      <xdr:nvGraphicFramePr>
        <xdr:cNvPr id="40" name="Grafico 39">
          <a:extLst>
            <a:ext uri="{FF2B5EF4-FFF2-40B4-BE49-F238E27FC236}">
              <a16:creationId xmlns:a16="http://schemas.microsoft.com/office/drawing/2014/main" id="{D660D739-8817-58D9-7306-8A8D02B29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517071</xdr:colOff>
      <xdr:row>90</xdr:row>
      <xdr:rowOff>79376</xdr:rowOff>
    </xdr:from>
    <xdr:to>
      <xdr:col>18</xdr:col>
      <xdr:colOff>471713</xdr:colOff>
      <xdr:row>109</xdr:row>
      <xdr:rowOff>45358</xdr:rowOff>
    </xdr:to>
    <xdr:graphicFrame macro="">
      <xdr:nvGraphicFramePr>
        <xdr:cNvPr id="43" name="Grafico 42">
          <a:extLst>
            <a:ext uri="{FF2B5EF4-FFF2-40B4-BE49-F238E27FC236}">
              <a16:creationId xmlns:a16="http://schemas.microsoft.com/office/drawing/2014/main" id="{9EA203FE-929F-D6E5-E1C6-1CE7C31F6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517072</xdr:colOff>
      <xdr:row>109</xdr:row>
      <xdr:rowOff>63500</xdr:rowOff>
    </xdr:from>
    <xdr:to>
      <xdr:col>15</xdr:col>
      <xdr:colOff>115661</xdr:colOff>
      <xdr:row>129</xdr:row>
      <xdr:rowOff>158750</xdr:rowOff>
    </xdr:to>
    <xdr:graphicFrame macro="">
      <xdr:nvGraphicFramePr>
        <xdr:cNvPr id="44" name="Grafico 43">
          <a:extLst>
            <a:ext uri="{FF2B5EF4-FFF2-40B4-BE49-F238E27FC236}">
              <a16:creationId xmlns:a16="http://schemas.microsoft.com/office/drawing/2014/main" id="{4B82A378-3674-5662-8DB1-9F48A3A08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27213</xdr:colOff>
      <xdr:row>129</xdr:row>
      <xdr:rowOff>181427</xdr:rowOff>
    </xdr:from>
    <xdr:to>
      <xdr:col>13</xdr:col>
      <xdr:colOff>517071</xdr:colOff>
      <xdr:row>148</xdr:row>
      <xdr:rowOff>154215</xdr:rowOff>
    </xdr:to>
    <xdr:graphicFrame macro="">
      <xdr:nvGraphicFramePr>
        <xdr:cNvPr id="45" name="Grafico 44">
          <a:extLst>
            <a:ext uri="{FF2B5EF4-FFF2-40B4-BE49-F238E27FC236}">
              <a16:creationId xmlns:a16="http://schemas.microsoft.com/office/drawing/2014/main" id="{014AEC67-7190-F45E-2DA8-39643AC71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254000</xdr:colOff>
      <xdr:row>149</xdr:row>
      <xdr:rowOff>86179</xdr:rowOff>
    </xdr:from>
    <xdr:to>
      <xdr:col>11</xdr:col>
      <xdr:colOff>272754</xdr:colOff>
      <xdr:row>168</xdr:row>
      <xdr:rowOff>99786</xdr:rowOff>
    </xdr:to>
    <xdr:graphicFrame macro="">
      <xdr:nvGraphicFramePr>
        <xdr:cNvPr id="46" name="Grafico 45">
          <a:extLst>
            <a:ext uri="{FF2B5EF4-FFF2-40B4-BE49-F238E27FC236}">
              <a16:creationId xmlns:a16="http://schemas.microsoft.com/office/drawing/2014/main" id="{D928B3F9-C238-4AA3-B892-685816878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145144</xdr:colOff>
      <xdr:row>170</xdr:row>
      <xdr:rowOff>136070</xdr:rowOff>
    </xdr:from>
    <xdr:to>
      <xdr:col>18</xdr:col>
      <xdr:colOff>290287</xdr:colOff>
      <xdr:row>195</xdr:row>
      <xdr:rowOff>27214</xdr:rowOff>
    </xdr:to>
    <xdr:graphicFrame macro="">
      <xdr:nvGraphicFramePr>
        <xdr:cNvPr id="47" name="Grafico 46">
          <a:extLst>
            <a:ext uri="{FF2B5EF4-FFF2-40B4-BE49-F238E27FC236}">
              <a16:creationId xmlns:a16="http://schemas.microsoft.com/office/drawing/2014/main" id="{7CF02E05-CE64-1043-DF4D-E1206F9CE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381000</xdr:colOff>
      <xdr:row>200</xdr:row>
      <xdr:rowOff>174626</xdr:rowOff>
    </xdr:from>
    <xdr:to>
      <xdr:col>13</xdr:col>
      <xdr:colOff>109043</xdr:colOff>
      <xdr:row>216</xdr:row>
      <xdr:rowOff>161779</xdr:rowOff>
    </xdr:to>
    <xdr:graphicFrame macro="">
      <xdr:nvGraphicFramePr>
        <xdr:cNvPr id="48" name="Grafico 47">
          <a:extLst>
            <a:ext uri="{FF2B5EF4-FFF2-40B4-BE49-F238E27FC236}">
              <a16:creationId xmlns:a16="http://schemas.microsoft.com/office/drawing/2014/main" id="{63D984A4-9FC3-E539-EBE9-0F3334BEA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C68C-BF48-494F-A4CE-DB5A79B37709}">
  <dimension ref="B4:AC208"/>
  <sheetViews>
    <sheetView tabSelected="1" topLeftCell="H21" zoomScale="85" zoomScaleNormal="85" workbookViewId="0">
      <selection activeCell="AD34" sqref="AD34"/>
    </sheetView>
  </sheetViews>
  <sheetFormatPr defaultRowHeight="14.5" x14ac:dyDescent="0.35"/>
  <cols>
    <col min="2" max="2" width="22.36328125" customWidth="1"/>
    <col min="3" max="3" width="14.1796875" style="7" customWidth="1"/>
  </cols>
  <sheetData>
    <row r="4" spans="2:17" x14ac:dyDescent="0.35">
      <c r="B4" t="s">
        <v>61</v>
      </c>
      <c r="C4" s="7" t="s">
        <v>0</v>
      </c>
    </row>
    <row r="5" spans="2:17" x14ac:dyDescent="0.35">
      <c r="B5" t="s">
        <v>8</v>
      </c>
      <c r="C5" s="7">
        <v>4</v>
      </c>
      <c r="P5" t="s">
        <v>62</v>
      </c>
      <c r="Q5" s="7" t="s">
        <v>9</v>
      </c>
    </row>
    <row r="6" spans="2:17" x14ac:dyDescent="0.35">
      <c r="B6" t="s">
        <v>7</v>
      </c>
      <c r="C6" s="7">
        <v>6</v>
      </c>
      <c r="P6" t="s">
        <v>57</v>
      </c>
      <c r="Q6" s="7">
        <v>2</v>
      </c>
    </row>
    <row r="7" spans="2:17" x14ac:dyDescent="0.35">
      <c r="B7" t="s">
        <v>6</v>
      </c>
      <c r="C7" s="7">
        <v>8</v>
      </c>
      <c r="P7" t="s">
        <v>13</v>
      </c>
      <c r="Q7" s="7">
        <v>4</v>
      </c>
    </row>
    <row r="8" spans="2:17" x14ac:dyDescent="0.35">
      <c r="B8" t="s">
        <v>5</v>
      </c>
      <c r="C8" s="7">
        <v>11</v>
      </c>
      <c r="P8" t="s">
        <v>12</v>
      </c>
      <c r="Q8" s="7">
        <v>7</v>
      </c>
    </row>
    <row r="9" spans="2:17" x14ac:dyDescent="0.35">
      <c r="B9" t="s">
        <v>4</v>
      </c>
      <c r="C9" s="7">
        <v>12</v>
      </c>
      <c r="P9" t="s">
        <v>11</v>
      </c>
      <c r="Q9" s="7">
        <v>12</v>
      </c>
    </row>
    <row r="10" spans="2:17" x14ac:dyDescent="0.35">
      <c r="B10" t="s">
        <v>3</v>
      </c>
      <c r="C10" s="7">
        <v>15</v>
      </c>
      <c r="P10" t="s">
        <v>10</v>
      </c>
      <c r="Q10" s="7">
        <v>15</v>
      </c>
    </row>
    <row r="11" spans="2:17" x14ac:dyDescent="0.35">
      <c r="B11" t="s">
        <v>2</v>
      </c>
      <c r="C11" s="7">
        <v>20</v>
      </c>
      <c r="P11" t="s">
        <v>14</v>
      </c>
      <c r="Q11" s="7">
        <v>28</v>
      </c>
    </row>
    <row r="12" spans="2:17" x14ac:dyDescent="0.35">
      <c r="B12" t="s">
        <v>1</v>
      </c>
      <c r="C12" s="7">
        <v>24</v>
      </c>
      <c r="P12" t="s">
        <v>60</v>
      </c>
      <c r="Q12" s="7">
        <v>38</v>
      </c>
    </row>
    <row r="16" spans="2:17" x14ac:dyDescent="0.35">
      <c r="P16" t="s">
        <v>56</v>
      </c>
    </row>
    <row r="23" spans="2:29" x14ac:dyDescent="0.35">
      <c r="B23" t="s">
        <v>63</v>
      </c>
      <c r="C23" s="7" t="s">
        <v>9</v>
      </c>
    </row>
    <row r="24" spans="2:29" x14ac:dyDescent="0.35">
      <c r="B24" t="s">
        <v>19</v>
      </c>
      <c r="C24" s="7">
        <v>3</v>
      </c>
    </row>
    <row r="25" spans="2:29" x14ac:dyDescent="0.35">
      <c r="B25" t="s">
        <v>18</v>
      </c>
      <c r="C25" s="7">
        <v>5.5</v>
      </c>
    </row>
    <row r="26" spans="2:29" x14ac:dyDescent="0.35">
      <c r="B26" t="s">
        <v>58</v>
      </c>
      <c r="C26" s="7">
        <v>10</v>
      </c>
    </row>
    <row r="27" spans="2:29" x14ac:dyDescent="0.35">
      <c r="B27" t="s">
        <v>17</v>
      </c>
      <c r="C27" s="7">
        <v>13</v>
      </c>
    </row>
    <row r="28" spans="2:29" x14ac:dyDescent="0.35">
      <c r="B28" t="s">
        <v>16</v>
      </c>
      <c r="C28" s="7">
        <v>19</v>
      </c>
      <c r="R28" s="11"/>
      <c r="S28" s="12" t="s">
        <v>8</v>
      </c>
      <c r="T28" s="12" t="s">
        <v>7</v>
      </c>
      <c r="U28" s="12" t="s">
        <v>79</v>
      </c>
      <c r="V28" s="12" t="s">
        <v>5</v>
      </c>
      <c r="W28" s="12" t="s">
        <v>4</v>
      </c>
      <c r="X28" s="12" t="s">
        <v>3</v>
      </c>
      <c r="Y28" s="12" t="s">
        <v>2</v>
      </c>
      <c r="Z28" s="12" t="s">
        <v>1</v>
      </c>
      <c r="AA28" s="12"/>
      <c r="AB28" s="12" t="s">
        <v>78</v>
      </c>
      <c r="AC28" s="13" t="s">
        <v>80</v>
      </c>
    </row>
    <row r="29" spans="2:29" x14ac:dyDescent="0.35">
      <c r="B29" t="s">
        <v>15</v>
      </c>
      <c r="C29" s="7">
        <v>49.5</v>
      </c>
      <c r="R29" s="14" t="s">
        <v>75</v>
      </c>
      <c r="S29" s="15">
        <v>24</v>
      </c>
      <c r="T29" s="15">
        <v>36</v>
      </c>
      <c r="U29" s="15">
        <v>48</v>
      </c>
      <c r="V29" s="15">
        <v>66</v>
      </c>
      <c r="W29" s="15">
        <v>72</v>
      </c>
      <c r="X29" s="15">
        <v>90</v>
      </c>
      <c r="Y29" s="15">
        <v>120</v>
      </c>
      <c r="Z29" s="15">
        <v>144</v>
      </c>
      <c r="AA29" s="15"/>
      <c r="AB29" s="15">
        <f>SUM(S29:AA29)</f>
        <v>600</v>
      </c>
      <c r="AC29" s="16">
        <v>200</v>
      </c>
    </row>
    <row r="30" spans="2:29" x14ac:dyDescent="0.35">
      <c r="R30" s="14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6"/>
    </row>
    <row r="31" spans="2:29" x14ac:dyDescent="0.35">
      <c r="R31" s="17" t="s">
        <v>9</v>
      </c>
      <c r="S31" s="18">
        <f>S29*100/$AB$29</f>
        <v>4</v>
      </c>
      <c r="T31" s="18">
        <f t="shared" ref="T31:Z31" si="0">T29*100/$AB$29</f>
        <v>6</v>
      </c>
      <c r="U31" s="18">
        <f t="shared" si="0"/>
        <v>8</v>
      </c>
      <c r="V31" s="18">
        <f t="shared" si="0"/>
        <v>11</v>
      </c>
      <c r="W31" s="18">
        <f t="shared" si="0"/>
        <v>12</v>
      </c>
      <c r="X31" s="18">
        <f t="shared" si="0"/>
        <v>15</v>
      </c>
      <c r="Y31" s="18">
        <f t="shared" si="0"/>
        <v>20</v>
      </c>
      <c r="Z31" s="18">
        <f t="shared" si="0"/>
        <v>24</v>
      </c>
      <c r="AA31" s="18"/>
      <c r="AB31" s="18"/>
      <c r="AC31" s="19"/>
    </row>
    <row r="35" spans="2:29" x14ac:dyDescent="0.35">
      <c r="R35" s="11"/>
      <c r="S35" s="12" t="s">
        <v>87</v>
      </c>
      <c r="T35" s="12" t="s">
        <v>86</v>
      </c>
      <c r="U35" s="12" t="s">
        <v>85</v>
      </c>
      <c r="V35" s="12" t="s">
        <v>84</v>
      </c>
      <c r="W35" s="12" t="s">
        <v>83</v>
      </c>
      <c r="X35" s="12" t="s">
        <v>82</v>
      </c>
      <c r="Y35" s="12" t="s">
        <v>81</v>
      </c>
      <c r="Z35" s="12"/>
      <c r="AA35" s="12"/>
      <c r="AB35" s="12" t="s">
        <v>78</v>
      </c>
      <c r="AC35" s="13" t="s">
        <v>80</v>
      </c>
    </row>
    <row r="36" spans="2:29" x14ac:dyDescent="0.35">
      <c r="R36" s="14" t="s">
        <v>76</v>
      </c>
      <c r="S36" s="15">
        <v>4</v>
      </c>
      <c r="T36" s="15">
        <v>8</v>
      </c>
      <c r="U36" s="15">
        <v>14</v>
      </c>
      <c r="V36" s="15">
        <v>24</v>
      </c>
      <c r="W36" s="15">
        <v>30</v>
      </c>
      <c r="X36" s="15">
        <v>56</v>
      </c>
      <c r="Y36" s="15">
        <v>76</v>
      </c>
      <c r="Z36" s="15"/>
      <c r="AA36" s="15"/>
      <c r="AB36" s="15">
        <f>SUM(S36:AA36)</f>
        <v>212</v>
      </c>
      <c r="AC36" s="16">
        <v>200</v>
      </c>
    </row>
    <row r="37" spans="2:29" x14ac:dyDescent="0.35">
      <c r="R37" s="14"/>
      <c r="S37" s="15"/>
      <c r="T37" s="15"/>
      <c r="U37" s="15"/>
      <c r="V37" s="15"/>
      <c r="W37" s="10" t="s">
        <v>88</v>
      </c>
      <c r="X37" s="10"/>
      <c r="Y37" s="15"/>
      <c r="Z37" s="15"/>
      <c r="AA37" s="15"/>
      <c r="AB37" s="15"/>
      <c r="AC37" s="16"/>
    </row>
    <row r="38" spans="2:29" x14ac:dyDescent="0.35">
      <c r="R38" s="17" t="s">
        <v>9</v>
      </c>
      <c r="S38" s="18">
        <f>S36*100/$AC$36</f>
        <v>2</v>
      </c>
      <c r="T38" s="18">
        <f t="shared" ref="T38:Y38" si="1">T36*100/$AC$36</f>
        <v>4</v>
      </c>
      <c r="U38" s="18">
        <f t="shared" si="1"/>
        <v>7</v>
      </c>
      <c r="V38" s="18">
        <f t="shared" si="1"/>
        <v>12</v>
      </c>
      <c r="W38" s="18">
        <f t="shared" si="1"/>
        <v>15</v>
      </c>
      <c r="X38" s="18">
        <f t="shared" si="1"/>
        <v>28</v>
      </c>
      <c r="Y38" s="18">
        <f t="shared" si="1"/>
        <v>38</v>
      </c>
      <c r="Z38" s="18"/>
      <c r="AA38" s="18"/>
      <c r="AB38" s="18"/>
      <c r="AC38" s="19"/>
    </row>
    <row r="42" spans="2:29" x14ac:dyDescent="0.35">
      <c r="R42" s="11"/>
      <c r="S42" s="12" t="s">
        <v>92</v>
      </c>
      <c r="T42" s="12" t="s">
        <v>18</v>
      </c>
      <c r="U42" s="12" t="s">
        <v>91</v>
      </c>
      <c r="V42" s="12" t="s">
        <v>90</v>
      </c>
      <c r="W42" s="12" t="s">
        <v>89</v>
      </c>
      <c r="X42" s="12" t="s">
        <v>15</v>
      </c>
      <c r="Y42" s="12"/>
      <c r="Z42" s="12"/>
      <c r="AA42" s="12"/>
      <c r="AB42" s="12" t="s">
        <v>78</v>
      </c>
      <c r="AC42" s="13" t="s">
        <v>74</v>
      </c>
    </row>
    <row r="43" spans="2:29" x14ac:dyDescent="0.35">
      <c r="R43" s="14" t="s">
        <v>77</v>
      </c>
      <c r="S43" s="15">
        <v>6</v>
      </c>
      <c r="T43" s="15">
        <v>11</v>
      </c>
      <c r="U43" s="15">
        <v>20</v>
      </c>
      <c r="V43" s="15">
        <v>26</v>
      </c>
      <c r="W43" s="15">
        <v>38</v>
      </c>
      <c r="X43" s="15">
        <v>99</v>
      </c>
      <c r="Y43" s="15"/>
      <c r="Z43" s="15"/>
      <c r="AA43" s="15"/>
      <c r="AB43" s="15">
        <f>SUM(S43:X43)</f>
        <v>200</v>
      </c>
      <c r="AC43" s="16">
        <v>200</v>
      </c>
    </row>
    <row r="44" spans="2:29" x14ac:dyDescent="0.35">
      <c r="R44" s="14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6"/>
    </row>
    <row r="45" spans="2:29" x14ac:dyDescent="0.35">
      <c r="R45" s="17" t="s">
        <v>9</v>
      </c>
      <c r="S45" s="18">
        <f>S43*100/$AC$43</f>
        <v>3</v>
      </c>
      <c r="T45" s="18">
        <f>T43*100/$AC$43</f>
        <v>5.5</v>
      </c>
      <c r="U45" s="18">
        <f>U43*100/$AC$43</f>
        <v>10</v>
      </c>
      <c r="V45" s="18">
        <f>V43*100/$AC$43</f>
        <v>13</v>
      </c>
      <c r="W45" s="18">
        <f>W43*100/$AC$43</f>
        <v>19</v>
      </c>
      <c r="X45" s="18">
        <f>X43*100/$AC$43</f>
        <v>49.5</v>
      </c>
      <c r="Y45" s="18"/>
      <c r="Z45" s="18"/>
      <c r="AA45" s="18"/>
      <c r="AB45" s="18"/>
      <c r="AC45" s="19"/>
    </row>
    <row r="46" spans="2:29" x14ac:dyDescent="0.35">
      <c r="B46" t="s">
        <v>64</v>
      </c>
      <c r="C46" s="8" t="s">
        <v>29</v>
      </c>
      <c r="D46" s="2" t="s">
        <v>29</v>
      </c>
    </row>
    <row r="47" spans="2:29" x14ac:dyDescent="0.35">
      <c r="B47" t="s">
        <v>23</v>
      </c>
      <c r="C47" s="7">
        <v>500</v>
      </c>
      <c r="D47" s="5">
        <v>500000</v>
      </c>
    </row>
    <row r="48" spans="2:29" x14ac:dyDescent="0.35">
      <c r="B48" t="s">
        <v>27</v>
      </c>
      <c r="C48" s="7">
        <v>450</v>
      </c>
      <c r="D48" s="5">
        <v>450000</v>
      </c>
    </row>
    <row r="49" spans="2:4" x14ac:dyDescent="0.35">
      <c r="B49" t="s">
        <v>28</v>
      </c>
      <c r="C49" s="7">
        <v>200</v>
      </c>
      <c r="D49" s="5">
        <v>200000</v>
      </c>
    </row>
    <row r="50" spans="2:4" x14ac:dyDescent="0.35">
      <c r="B50" s="1" t="s">
        <v>25</v>
      </c>
      <c r="C50" s="7">
        <v>107</v>
      </c>
      <c r="D50" s="5">
        <v>107000</v>
      </c>
    </row>
    <row r="51" spans="2:4" x14ac:dyDescent="0.35">
      <c r="B51" t="s">
        <v>26</v>
      </c>
      <c r="C51" s="7">
        <v>50</v>
      </c>
      <c r="D51" s="5">
        <v>50000</v>
      </c>
    </row>
    <row r="52" spans="2:4" x14ac:dyDescent="0.35">
      <c r="B52" t="s">
        <v>24</v>
      </c>
      <c r="C52" s="7">
        <v>50</v>
      </c>
      <c r="D52" s="5">
        <v>50000</v>
      </c>
    </row>
    <row r="73" spans="2:4" x14ac:dyDescent="0.35">
      <c r="B73" t="s">
        <v>67</v>
      </c>
      <c r="C73" s="8" t="s">
        <v>29</v>
      </c>
    </row>
    <row r="74" spans="2:4" x14ac:dyDescent="0.35">
      <c r="B74" t="s">
        <v>30</v>
      </c>
      <c r="C74" s="9">
        <v>1500</v>
      </c>
      <c r="D74" t="s">
        <v>65</v>
      </c>
    </row>
    <row r="75" spans="2:4" x14ac:dyDescent="0.35">
      <c r="B75" t="s">
        <v>34</v>
      </c>
      <c r="C75" s="9">
        <v>140</v>
      </c>
      <c r="D75" t="s">
        <v>66</v>
      </c>
    </row>
    <row r="76" spans="2:4" x14ac:dyDescent="0.35">
      <c r="B76" t="s">
        <v>33</v>
      </c>
      <c r="C76" s="9">
        <v>137</v>
      </c>
      <c r="D76" t="s">
        <v>66</v>
      </c>
    </row>
    <row r="77" spans="2:4" x14ac:dyDescent="0.35">
      <c r="B77" t="s">
        <v>31</v>
      </c>
      <c r="C77" s="9">
        <v>50</v>
      </c>
      <c r="D77" t="s">
        <v>65</v>
      </c>
    </row>
    <row r="78" spans="2:4" x14ac:dyDescent="0.35">
      <c r="B78" t="s">
        <v>32</v>
      </c>
      <c r="C78" s="9">
        <v>8</v>
      </c>
    </row>
    <row r="97" spans="2:6" ht="16" x14ac:dyDescent="0.4">
      <c r="B97" s="3" t="s">
        <v>35</v>
      </c>
      <c r="C97" s="7" t="s">
        <v>36</v>
      </c>
      <c r="D97" s="3" t="s">
        <v>37</v>
      </c>
      <c r="E97" s="3" t="s">
        <v>38</v>
      </c>
      <c r="F97" s="3" t="s">
        <v>39</v>
      </c>
    </row>
    <row r="98" spans="2:6" x14ac:dyDescent="0.35">
      <c r="B98" t="s">
        <v>45</v>
      </c>
      <c r="C98" s="7">
        <v>66.099999999999994</v>
      </c>
      <c r="D98">
        <v>55</v>
      </c>
      <c r="E98">
        <v>50</v>
      </c>
      <c r="F98">
        <v>37.1</v>
      </c>
    </row>
    <row r="99" spans="2:6" x14ac:dyDescent="0.35">
      <c r="B99" t="s">
        <v>40</v>
      </c>
      <c r="C99" s="7">
        <v>65.7</v>
      </c>
      <c r="D99">
        <v>50.4</v>
      </c>
      <c r="E99">
        <v>48.9</v>
      </c>
      <c r="F99">
        <v>34.299999999999997</v>
      </c>
    </row>
    <row r="100" spans="2:6" x14ac:dyDescent="0.35">
      <c r="B100" t="s">
        <v>41</v>
      </c>
      <c r="C100" s="7">
        <v>57.8</v>
      </c>
      <c r="D100">
        <v>66.099999999999994</v>
      </c>
      <c r="E100">
        <v>68.2</v>
      </c>
      <c r="F100">
        <v>67.5</v>
      </c>
    </row>
    <row r="101" spans="2:6" x14ac:dyDescent="0.35">
      <c r="B101" t="s">
        <v>42</v>
      </c>
      <c r="C101" s="7">
        <v>48.6</v>
      </c>
      <c r="D101">
        <v>46.1</v>
      </c>
      <c r="E101">
        <v>48.2</v>
      </c>
      <c r="F101">
        <v>56.8</v>
      </c>
    </row>
    <row r="102" spans="2:6" x14ac:dyDescent="0.35">
      <c r="B102" t="s">
        <v>43</v>
      </c>
      <c r="C102" s="7">
        <v>45</v>
      </c>
      <c r="D102">
        <v>54.3</v>
      </c>
      <c r="E102">
        <v>44.6</v>
      </c>
      <c r="F102">
        <v>60.4</v>
      </c>
    </row>
    <row r="103" spans="2:6" x14ac:dyDescent="0.35">
      <c r="B103" t="s">
        <v>44</v>
      </c>
      <c r="C103" s="7">
        <v>39.6</v>
      </c>
      <c r="D103">
        <v>37.799999999999997</v>
      </c>
      <c r="E103">
        <v>39.6</v>
      </c>
      <c r="F103">
        <v>47.1</v>
      </c>
    </row>
    <row r="106" spans="2:6" x14ac:dyDescent="0.35">
      <c r="D106" t="s">
        <v>55</v>
      </c>
    </row>
    <row r="110" spans="2:6" x14ac:dyDescent="0.35">
      <c r="B110" s="4" t="s">
        <v>47</v>
      </c>
      <c r="C110" s="7" t="s">
        <v>48</v>
      </c>
    </row>
    <row r="111" spans="2:6" x14ac:dyDescent="0.35">
      <c r="B111" s="6">
        <v>10</v>
      </c>
      <c r="C111" s="7">
        <v>0</v>
      </c>
    </row>
    <row r="112" spans="2:6" x14ac:dyDescent="0.35">
      <c r="B112" s="6">
        <v>11</v>
      </c>
      <c r="C112" s="7">
        <v>10</v>
      </c>
    </row>
    <row r="113" spans="2:3" x14ac:dyDescent="0.35">
      <c r="B113" s="6">
        <v>12</v>
      </c>
      <c r="C113" s="7">
        <v>20</v>
      </c>
    </row>
    <row r="114" spans="2:3" x14ac:dyDescent="0.35">
      <c r="B114" s="6">
        <v>13</v>
      </c>
      <c r="C114" s="7">
        <v>30</v>
      </c>
    </row>
    <row r="115" spans="2:3" x14ac:dyDescent="0.35">
      <c r="B115" s="6">
        <v>14</v>
      </c>
      <c r="C115" s="7">
        <v>50</v>
      </c>
    </row>
    <row r="116" spans="2:3" x14ac:dyDescent="0.35">
      <c r="B116" s="6">
        <v>15</v>
      </c>
      <c r="C116" s="7">
        <v>80</v>
      </c>
    </row>
    <row r="117" spans="2:3" x14ac:dyDescent="0.35">
      <c r="B117" s="6">
        <v>16</v>
      </c>
      <c r="C117" s="7">
        <v>100</v>
      </c>
    </row>
    <row r="118" spans="2:3" x14ac:dyDescent="0.35">
      <c r="B118" s="6">
        <v>17</v>
      </c>
      <c r="C118" s="7">
        <v>80</v>
      </c>
    </row>
    <row r="119" spans="2:3" x14ac:dyDescent="0.35">
      <c r="B119" s="6">
        <v>18</v>
      </c>
      <c r="C119" s="7">
        <v>75</v>
      </c>
    </row>
    <row r="120" spans="2:3" x14ac:dyDescent="0.35">
      <c r="B120" s="6">
        <v>19</v>
      </c>
      <c r="C120" s="7">
        <v>50</v>
      </c>
    </row>
    <row r="121" spans="2:3" x14ac:dyDescent="0.35">
      <c r="B121" s="6">
        <v>20</v>
      </c>
      <c r="C121" s="7">
        <v>40</v>
      </c>
    </row>
    <row r="122" spans="2:3" x14ac:dyDescent="0.35">
      <c r="B122" s="6">
        <v>21</v>
      </c>
      <c r="C122" s="7">
        <v>20</v>
      </c>
    </row>
    <row r="123" spans="2:3" x14ac:dyDescent="0.35">
      <c r="B123" s="6">
        <v>25</v>
      </c>
      <c r="C123" s="7">
        <v>5</v>
      </c>
    </row>
    <row r="138" spans="2:3" x14ac:dyDescent="0.35">
      <c r="B138" t="s">
        <v>49</v>
      </c>
      <c r="C138" s="7" t="s">
        <v>50</v>
      </c>
    </row>
    <row r="139" spans="2:3" x14ac:dyDescent="0.35">
      <c r="B139" t="s">
        <v>68</v>
      </c>
      <c r="C139" s="7">
        <v>40</v>
      </c>
    </row>
    <row r="140" spans="2:3" x14ac:dyDescent="0.35">
      <c r="B140" t="s">
        <v>51</v>
      </c>
      <c r="C140" s="7">
        <v>25</v>
      </c>
    </row>
    <row r="141" spans="2:3" x14ac:dyDescent="0.35">
      <c r="B141" t="s">
        <v>52</v>
      </c>
      <c r="C141" s="7">
        <v>25</v>
      </c>
    </row>
    <row r="142" spans="2:3" x14ac:dyDescent="0.35">
      <c r="B142" t="s">
        <v>69</v>
      </c>
      <c r="C142" s="7">
        <v>10</v>
      </c>
    </row>
    <row r="155" spans="2:3" x14ac:dyDescent="0.35">
      <c r="B155" t="s">
        <v>46</v>
      </c>
      <c r="C155" s="7" t="s">
        <v>50</v>
      </c>
    </row>
    <row r="156" spans="2:3" x14ac:dyDescent="0.35">
      <c r="B156" t="s">
        <v>53</v>
      </c>
      <c r="C156" s="7">
        <v>90</v>
      </c>
    </row>
    <row r="157" spans="2:3" x14ac:dyDescent="0.35">
      <c r="B157" t="s">
        <v>54</v>
      </c>
      <c r="C157" s="7">
        <v>10</v>
      </c>
    </row>
    <row r="176" spans="3:6" x14ac:dyDescent="0.35">
      <c r="C176" s="7" t="s">
        <v>70</v>
      </c>
      <c r="D176" t="s">
        <v>73</v>
      </c>
      <c r="E176" t="s">
        <v>71</v>
      </c>
      <c r="F176" t="s">
        <v>72</v>
      </c>
    </row>
    <row r="177" spans="2:6" x14ac:dyDescent="0.35">
      <c r="B177" t="s">
        <v>20</v>
      </c>
      <c r="C177" s="7">
        <v>30</v>
      </c>
      <c r="D177" s="7">
        <v>17.5</v>
      </c>
      <c r="E177">
        <v>50</v>
      </c>
      <c r="F177">
        <v>50</v>
      </c>
    </row>
    <row r="178" spans="2:6" x14ac:dyDescent="0.35">
      <c r="B178" t="s">
        <v>21</v>
      </c>
      <c r="C178" s="7">
        <v>44.5</v>
      </c>
      <c r="D178" s="7">
        <v>20.7</v>
      </c>
      <c r="E178">
        <v>16.3</v>
      </c>
      <c r="F178">
        <v>7.6</v>
      </c>
    </row>
    <row r="179" spans="2:6" x14ac:dyDescent="0.35">
      <c r="B179" t="s">
        <v>22</v>
      </c>
      <c r="C179" s="7">
        <v>43.3</v>
      </c>
      <c r="D179" s="7">
        <v>28</v>
      </c>
      <c r="E179">
        <v>12.6</v>
      </c>
      <c r="F179">
        <v>6.8</v>
      </c>
    </row>
    <row r="205" spans="2:3" x14ac:dyDescent="0.35">
      <c r="B205" t="s">
        <v>59</v>
      </c>
      <c r="C205" s="7" t="s">
        <v>9</v>
      </c>
    </row>
    <row r="206" spans="2:3" x14ac:dyDescent="0.35">
      <c r="B206" t="s">
        <v>5</v>
      </c>
      <c r="C206" s="7">
        <v>15</v>
      </c>
    </row>
    <row r="207" spans="2:3" x14ac:dyDescent="0.35">
      <c r="B207" t="s">
        <v>4</v>
      </c>
      <c r="C207" s="7">
        <v>18</v>
      </c>
    </row>
    <row r="208" spans="2:3" x14ac:dyDescent="0.35">
      <c r="B208" t="s">
        <v>3</v>
      </c>
      <c r="C208" s="7">
        <v>23</v>
      </c>
    </row>
  </sheetData>
  <sortState xmlns:xlrd2="http://schemas.microsoft.com/office/spreadsheetml/2017/richdata2" ref="B206:C208">
    <sortCondition ref="C206:C208"/>
  </sortState>
  <mergeCells count="1">
    <mergeCell ref="W37:X37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Pigazzini</dc:creator>
  <cp:lastModifiedBy>Alessandro Pigazzini</cp:lastModifiedBy>
  <dcterms:created xsi:type="dcterms:W3CDTF">2026-06-11T15:59:23Z</dcterms:created>
  <dcterms:modified xsi:type="dcterms:W3CDTF">2026-07-19T11:04:27Z</dcterms:modified>
</cp:coreProperties>
</file>